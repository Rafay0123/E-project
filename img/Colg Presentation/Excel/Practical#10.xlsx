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VANCES PC\Desktop\Colg Presentation\Excel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5" i="1"/>
  <c r="J4" i="1"/>
  <c r="J3" i="1"/>
  <c r="I7" i="1"/>
  <c r="I6" i="1"/>
  <c r="I5" i="1"/>
  <c r="I3" i="1"/>
  <c r="I4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<sst xmlns="http://schemas.openxmlformats.org/spreadsheetml/2006/main" count="16" uniqueCount="16">
  <si>
    <t xml:space="preserve">                                                             CLASS XI - SCIENCE GENERAL GROUP.</t>
  </si>
  <si>
    <t>S.No</t>
  </si>
  <si>
    <t xml:space="preserve">Name </t>
  </si>
  <si>
    <t>Math</t>
  </si>
  <si>
    <t>Comp.Sc.</t>
  </si>
  <si>
    <t>Physics</t>
  </si>
  <si>
    <t>English</t>
  </si>
  <si>
    <t>Urdu</t>
  </si>
  <si>
    <t xml:space="preserve">Total </t>
  </si>
  <si>
    <t xml:space="preserve">        %</t>
  </si>
  <si>
    <t>Grade</t>
  </si>
  <si>
    <t>Ahmed</t>
  </si>
  <si>
    <t>Ali</t>
  </si>
  <si>
    <t>Iqra</t>
  </si>
  <si>
    <t>Laiba</t>
  </si>
  <si>
    <t>Kamaal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</si>
</sst>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J7" sqref="J7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1</v>
      </c>
      <c r="B3" t="s">
        <v>11</v>
      </c>
      <c r="C3">
        <v>78</v>
      </c>
      <c r="D3">
        <v>89</v>
      </c>
      <c r="E3">
        <v>84</v>
      </c>
      <c r="F3">
        <v>75</v>
      </c>
      <c r="G3">
        <v>84</v>
      </c>
      <c r="H3">
        <f>SUM(C3:G3)</f>
        <v>410</v>
      </c>
      <c r="I3">
        <f>H3*100/500</f>
        <v>82</v>
      </c>
      <c r="J3" t="str">
        <f>IF(I3&gt;80,"A1",IF(I3&gt;700,"A",IF(I3&gt;60,"B",IF(I3&lt;60,"C",))))</f>
        <v>A1</v>
      </c>
    </row>
    <row r="4" spans="1:10" x14ac:dyDescent="0.25">
      <c r="A4">
        <v>2</v>
      </c>
      <c r="B4" t="s">
        <v>12</v>
      </c>
      <c r="C4">
        <v>87</v>
      </c>
      <c r="D4">
        <v>91</v>
      </c>
      <c r="E4">
        <v>79</v>
      </c>
      <c r="F4">
        <v>85</v>
      </c>
      <c r="G4">
        <v>81</v>
      </c>
      <c r="H4">
        <f>SUM(C4:G4)</f>
        <v>423</v>
      </c>
      <c r="I4">
        <f>H4*100/500</f>
        <v>84.6</v>
      </c>
      <c r="J4" t="str">
        <f>IF(I4&gt;80,"A1",IF(I4&gt;700,"A",IF(I4&gt;60,"B",IF(I4&lt;60,"C",))))</f>
        <v>A1</v>
      </c>
    </row>
    <row r="5" spans="1:10" x14ac:dyDescent="0.25">
      <c r="A5">
        <v>3</v>
      </c>
      <c r="B5" t="s">
        <v>13</v>
      </c>
      <c r="C5">
        <v>68</v>
      </c>
      <c r="D5">
        <v>82</v>
      </c>
      <c r="E5">
        <v>71</v>
      </c>
      <c r="F5">
        <v>61</v>
      </c>
      <c r="G5">
        <v>63</v>
      </c>
      <c r="H5">
        <f>SUM(C5:G5)</f>
        <v>345</v>
      </c>
      <c r="I5">
        <f>H5*100/500</f>
        <v>69</v>
      </c>
      <c r="J5" t="str">
        <f>IF(I5&gt;80,"A1",IF(I5&gt;700,"A",IF(I5&gt;60,"B",IF(I5&lt;60,"C",))))</f>
        <v>B</v>
      </c>
    </row>
    <row r="6" spans="1:10" x14ac:dyDescent="0.25">
      <c r="A6">
        <v>4</v>
      </c>
      <c r="B6" t="s">
        <v>14</v>
      </c>
      <c r="C6">
        <v>81</v>
      </c>
      <c r="D6">
        <v>80</v>
      </c>
      <c r="E6">
        <v>75</v>
      </c>
      <c r="F6">
        <v>83</v>
      </c>
      <c r="G6">
        <v>76</v>
      </c>
      <c r="H6">
        <f>SUM(C6:G6)</f>
        <v>395</v>
      </c>
      <c r="I6">
        <f>H6*100/500</f>
        <v>79</v>
      </c>
      <c r="J6" t="str">
        <f>IF(I6&gt;80,"A1",IF(I6&gt;700,"A",IF(I6&gt;60,"B",IF(I6&lt;60,"C",))))</f>
        <v>B</v>
      </c>
    </row>
    <row r="7" spans="1:10" x14ac:dyDescent="0.25">
      <c r="A7">
        <v>5</v>
      </c>
      <c r="B7" t="s">
        <v>15</v>
      </c>
      <c r="C7">
        <v>88</v>
      </c>
      <c r="D7">
        <v>93</v>
      </c>
      <c r="E7">
        <v>73</v>
      </c>
      <c r="F7">
        <v>80</v>
      </c>
      <c r="G7">
        <v>87</v>
      </c>
      <c r="H7">
        <f>SUM(C7:G7)</f>
        <v>421</v>
      </c>
      <c r="I7">
        <f>H7*100/500</f>
        <v>84.2</v>
      </c>
      <c r="J7" t="str">
        <f>IF(I7&gt;80,"A1",IF(I7&gt;700,"A",IF(I7&gt;60,"B",IF(I7&lt;60,"C",))))</f>
        <v>A1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ADVANCES PC</dc:creator>
  <cp:lastModifiedBy>ADVANCES PC</cp:lastModifiedBy>
  <dcterms:created xsi:type="dcterms:W3CDTF">2026-01-23T10:40:22Z</dcterms:created>
  <dcterms:modified xsi:type="dcterms:W3CDTF">2026-01-23T11:01:05Z</dcterms:modified>
</cp:coreProperties>
</file>