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CES PC\Desktop\Colg Presentation\Excel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  <c r="G6" i="1"/>
  <c r="G5" i="1"/>
  <c r="G4" i="1"/>
  <c r="G3" i="1"/>
  <c r="G2" i="1"/>
  <c r="F6" i="1"/>
  <c r="F5" i="1"/>
  <c r="F4" i="1"/>
  <c r="F3" i="1"/>
  <c r="F2" i="1"/>
  <c r="E6" i="1"/>
  <c r="E5" i="1"/>
  <c r="E4" i="1"/>
  <c r="E3" i="1"/>
  <c r="E2" i="1"/>
  <c r="D6" i="1"/>
  <c r="D5" i="1"/>
  <c r="D4" i="1"/>
  <c r="D3" i="1"/>
  <c r="D2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<sst xmlns="http://schemas.openxmlformats.org/spreadsheetml/2006/main" count="13" uniqueCount="13">
  <si>
    <t>Name</t>
  </si>
  <si>
    <t>Basic Pay</t>
  </si>
  <si>
    <t>Medical Allowance</t>
  </si>
  <si>
    <t>Asim</t>
  </si>
  <si>
    <t>Ali</t>
  </si>
  <si>
    <t>Salma</t>
  </si>
  <si>
    <t>Zubia</t>
  </si>
  <si>
    <t>Abiha</t>
  </si>
  <si>
    <t>House Rent</t>
  </si>
  <si>
    <t>Gross Pay</t>
  </si>
  <si>
    <t>Income Tax</t>
  </si>
  <si>
    <t>Net Pay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</si>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</sst>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7" sqref="H7"/>
    </sheetView>
  </sheetViews>
  <sheetFormatPr defaultRowHeight="15" x14ac:dyDescent="0.25"/>
  <cols>
    <col min="3" max="3" width="18" bestFit="1" customWidth="1"/>
    <col min="4" max="4" width="11.7109375" customWidth="1"/>
    <col min="5" max="5" width="12.5703125" customWidth="1"/>
    <col min="6" max="6" width="12.8554687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 t="s">
        <v>3</v>
      </c>
      <c r="B2">
        <v>14000</v>
      </c>
      <c r="C2">
        <f>B2*12%</f>
        <v>1680</v>
      </c>
      <c r="D2">
        <f>B2*45%</f>
        <v>6300</v>
      </c>
      <c r="E2">
        <f>B2+C2+D2</f>
        <v>21980</v>
      </c>
      <c r="F2">
        <f>IF(E2&gt;18000,E2*4/100,E2*3/100)</f>
        <v>879.2</v>
      </c>
      <c r="G2">
        <f>E2-F2</f>
        <v>21100.799999999999</v>
      </c>
      <c r="H2" t="str">
        <f>IF(G2&gt;=18000,"Grade-1","Grade-2")</f>
        <v>Grade-1</v>
      </c>
    </row>
    <row r="3" spans="1:8" x14ac:dyDescent="0.25">
      <c r="A3" t="s">
        <v>4</v>
      </c>
      <c r="B3">
        <v>11000</v>
      </c>
      <c r="C3">
        <f>B3*12%</f>
        <v>1320</v>
      </c>
      <c r="D3">
        <f>B3*45%</f>
        <v>4950</v>
      </c>
      <c r="E3">
        <f>B3+C3+D3</f>
        <v>17270</v>
      </c>
      <c r="F3">
        <f>IF(E3&gt;18000,E3*4/100,E3*3/100)</f>
        <v>518.1</v>
      </c>
      <c r="G3">
        <f>E3-F3</f>
        <v>16751.900000000001</v>
      </c>
      <c r="H3" t="str">
        <f>IF(G3&gt;=18000,"Grade-1","Grade-2")</f>
        <v>Grade-2</v>
      </c>
    </row>
    <row r="4" spans="1:8" x14ac:dyDescent="0.25">
      <c r="A4" t="s">
        <v>5</v>
      </c>
      <c r="B4">
        <v>10000</v>
      </c>
      <c r="C4">
        <f>B4*12%</f>
        <v>1200</v>
      </c>
      <c r="D4">
        <f>B4*45%</f>
        <v>4500</v>
      </c>
      <c r="E4">
        <f>B4+C4+D4</f>
        <v>15700</v>
      </c>
      <c r="F4">
        <f>IF(E4&gt;18000,E4*4/100,E4*3/100)</f>
        <v>471</v>
      </c>
      <c r="G4">
        <f>E4-F4</f>
        <v>15229</v>
      </c>
      <c r="H4" t="str">
        <f>IF(G4&gt;=18000,"Grade-1","Grade-2")</f>
        <v>Grade-2</v>
      </c>
    </row>
    <row r="5" spans="1:8" x14ac:dyDescent="0.25">
      <c r="A5" t="s">
        <v>6</v>
      </c>
      <c r="B5">
        <v>15000</v>
      </c>
      <c r="C5">
        <f>B5*12%</f>
        <v>1800</v>
      </c>
      <c r="D5">
        <f>B5*45%</f>
        <v>6750</v>
      </c>
      <c r="E5">
        <f>B5+C5+D5</f>
        <v>23550</v>
      </c>
      <c r="F5">
        <f>IF(E5&gt;18000,E5*4/100,E5*3/100)</f>
        <v>942</v>
      </c>
      <c r="G5">
        <f>E5-F5</f>
        <v>22608</v>
      </c>
      <c r="H5" t="str">
        <f>IF(G5&gt;=18000,"Grade-1","Grade-2")</f>
        <v>Grade-1</v>
      </c>
    </row>
    <row r="6" spans="1:8" x14ac:dyDescent="0.25">
      <c r="A6" t="s">
        <v>7</v>
      </c>
      <c r="B6">
        <v>14000</v>
      </c>
      <c r="C6">
        <f>B6*12%</f>
        <v>1680</v>
      </c>
      <c r="D6">
        <f>B6*45%</f>
        <v>6300</v>
      </c>
      <c r="E6">
        <f>B6+C6+D6</f>
        <v>21980</v>
      </c>
      <c r="F6">
        <f>IF(E6&gt;18000,E6*4/100,E6*3/100)</f>
        <v>879.2</v>
      </c>
      <c r="G6">
        <f>E6-F6</f>
        <v>21100.799999999999</v>
      </c>
      <c r="H6" t="str">
        <f>IF(G6&gt;=18000,"Grade-1","Grade-2")</f>
        <v>Grade-1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ADVANCES PC</dc:creator>
  <cp:lastModifiedBy>ADVANCES PC</cp:lastModifiedBy>
  <dcterms:created xsi:type="dcterms:W3CDTF">2026-01-23T14:37:15Z</dcterms:created>
  <dcterms:modified xsi:type="dcterms:W3CDTF">2026-01-23T14:56:02Z</dcterms:modified>
</cp:coreProperties>
</file>